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at-Rechner" sheetId="1" r:id="rId4"/>
    <sheet state="visible" name="Suppen-Rechner" sheetId="2" r:id="rId5"/>
    <sheet state="visible" name="Pizza-Rechner" sheetId="3" r:id="rId6"/>
  </sheets>
  <definedNames/>
  <calcPr/>
</workbook>
</file>

<file path=xl/sharedStrings.xml><?xml version="1.0" encoding="utf-8"?>
<sst xmlns="http://schemas.openxmlformats.org/spreadsheetml/2006/main" count="87" uniqueCount="69">
  <si>
    <t>DMUNs Salat Rechner</t>
  </si>
  <si>
    <t>DMUNs Rohkostrechner</t>
  </si>
  <si>
    <t>Anzahl Personen</t>
  </si>
  <si>
    <t>Menge pro Person</t>
  </si>
  <si>
    <t>in Gramm</t>
  </si>
  <si>
    <t>Zutaten</t>
  </si>
  <si>
    <t>Standard Gewicht in Gramm</t>
  </si>
  <si>
    <t>Anzahl</t>
  </si>
  <si>
    <t>Gesamtgewicht</t>
  </si>
  <si>
    <t>Eisbergsalat</t>
  </si>
  <si>
    <t>Gurke</t>
  </si>
  <si>
    <t>Paprika</t>
  </si>
  <si>
    <t>Karotten</t>
  </si>
  <si>
    <t>Tomaten</t>
  </si>
  <si>
    <t>Kohlrabi</t>
  </si>
  <si>
    <t>Dose Mais</t>
  </si>
  <si>
    <t>Dose Kidneybohnen</t>
  </si>
  <si>
    <t>Glas Oliven</t>
  </si>
  <si>
    <t>Feta</t>
  </si>
  <si>
    <t>veg. Feta</t>
  </si>
  <si>
    <t>Bulgur gekocht</t>
  </si>
  <si>
    <t>Gersamt Menge</t>
  </si>
  <si>
    <t>g</t>
  </si>
  <si>
    <t>Mengen Empfehlung von Miriam:</t>
  </si>
  <si>
    <t>RECHNER</t>
  </si>
  <si>
    <t>Menge Pro Person</t>
  </si>
  <si>
    <t>Benötigte Menge in cm^2</t>
  </si>
  <si>
    <t>560cm^2 p.P.</t>
  </si>
  <si>
    <t>MUN-SH 2025</t>
  </si>
  <si>
    <t>Größe der Pizza</t>
  </si>
  <si>
    <t>Anzahl Pizzen</t>
  </si>
  <si>
    <t>d.h. 16 Pizzen</t>
  </si>
  <si>
    <t>3,5 Menschen/50cm Pizza</t>
  </si>
  <si>
    <t>davon 3 Vegan</t>
  </si>
  <si>
    <t>50cm = 1963cm^2</t>
  </si>
  <si>
    <r>
      <rPr>
        <rFont val="Arial"/>
      </rPr>
      <t xml:space="preserve">Bestellung bei: </t>
    </r>
    <r>
      <rPr>
        <rFont val="Arial"/>
        <color rgb="FF1155CC"/>
        <u/>
      </rPr>
      <t>https://pizzapasta-taxi.de/</t>
    </r>
  </si>
  <si>
    <r>
      <rPr/>
      <t xml:space="preserve">1 </t>
    </r>
    <r>
      <rPr>
        <color rgb="FF1155CC"/>
        <u/>
      </rPr>
      <t>https://wolt.com/de/deu/stuttgart/restaurant/hashi-stuttgart/rotes-curry-itemid-62b31e4a987fcd6eb7f47f9f</t>
    </r>
  </si>
  <si>
    <t>32cm = 804cm^2</t>
  </si>
  <si>
    <t>Name</t>
  </si>
  <si>
    <t>Beschreibung</t>
  </si>
  <si>
    <t>Preis</t>
  </si>
  <si>
    <t>Gesamt</t>
  </si>
  <si>
    <t>26cm = 530cm^2</t>
  </si>
  <si>
    <t>Quattro Formaggi für Mika</t>
  </si>
  <si>
    <t>Margherita</t>
  </si>
  <si>
    <t>Margharita</t>
  </si>
  <si>
    <t>Funghi</t>
  </si>
  <si>
    <t>Beispiel:</t>
  </si>
  <si>
    <t>Solitudine</t>
  </si>
  <si>
    <t>Champingnons, Peperoni, Zwiebeln</t>
  </si>
  <si>
    <t>Vegetariana</t>
  </si>
  <si>
    <t>14 Leute = 4 Party-Pizzen hat bei EPL-WE gut geklappt</t>
  </si>
  <si>
    <t>Volante</t>
  </si>
  <si>
    <t>Champingnons, Paprika, Oliven, Artischocken</t>
  </si>
  <si>
    <t>Spinaci</t>
  </si>
  <si>
    <t>Mal Tempo</t>
  </si>
  <si>
    <t>Salami, Champignons</t>
  </si>
  <si>
    <t>Prosciutto</t>
  </si>
  <si>
    <t>Peperonta</t>
  </si>
  <si>
    <t>Gegrilltes Gemüse</t>
  </si>
  <si>
    <t>Vegetariana ohne Käse</t>
  </si>
  <si>
    <t>Magic Mushroom</t>
  </si>
  <si>
    <t>Vegan + Champignons</t>
  </si>
  <si>
    <t>Plantlife</t>
  </si>
  <si>
    <t>Vegan + Zucchini, Aubergine, Paprika</t>
  </si>
  <si>
    <t>Mighty Mushroom</t>
  </si>
  <si>
    <t>Steinpilze, Kirschtomaten</t>
  </si>
  <si>
    <t>Urban Garden</t>
  </si>
  <si>
    <t>Spinat Artischoke Brokkoli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</si>
</sst>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21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sz val="11.0"/>
      <color theme="1"/>
      <name val="Calibri"/>
    </font>
    <font>
      <u/>
      <color rgb="FF0000FF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8">
    <border/>
    <border>
      <left style="medium">
        <color rgb="FFE06666"/>
      </left>
      <top style="medium">
        <color rgb="FFE06666"/>
      </top>
    </border>
    <border>
      <top style="medium">
        <color rgb="FFE06666"/>
      </top>
    </border>
    <border>
      <right style="medium">
        <color rgb="FFE06666"/>
      </right>
      <top style="medium">
        <color rgb="FFE06666"/>
      </top>
    </border>
    <border>
      <left style="medium">
        <color rgb="FFE06666"/>
      </left>
      <bottom style="double">
        <color rgb="FF000000"/>
      </bottom>
    </border>
    <border>
      <bottom style="double">
        <color rgb="FF000000"/>
      </bottom>
    </border>
    <border>
      <right style="medium">
        <color rgb="FFE06666"/>
      </right>
      <bottom style="double">
        <color rgb="FF000000"/>
      </bottom>
    </border>
    <border>
      <left style="medium">
        <color rgb="FFE06666"/>
      </left>
      <bottom style="medium">
        <color rgb="FFE06666"/>
      </bottom>
    </border>
    <border>
      <bottom style="medium">
        <color rgb="FFE06666"/>
      </bottom>
    </border>
    <border>
      <right style="medium">
        <color rgb="FFE06666"/>
      </right>
      <bottom style="medium">
        <color rgb="FFE06666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2" numFmtId="0" xfId="0" applyBorder="1" applyFont="1"/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Border="1" applyFont="1"/>
    <xf borderId="8" fillId="0" fontId="2" numFmtId="3" xfId="0" applyBorder="1" applyFont="1" applyNumberFormat="1"/>
    <xf borderId="9" fillId="0" fontId="2" numFmtId="0" xfId="0" applyAlignment="1" applyBorder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Font="1"/>
    <xf borderId="5" fillId="0" fontId="2" numFmtId="0" xfId="0" applyBorder="1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10" fillId="0" fontId="2" numFmtId="0" xfId="0" applyBorder="1" applyFont="1"/>
    <xf borderId="11" fillId="0" fontId="2" numFmtId="0" xfId="0" applyAlignment="1" applyBorder="1" applyFont="1">
      <alignment readingOrder="0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13" fillId="0" fontId="2" numFmtId="0" xfId="0" applyAlignment="1" applyBorder="1" applyFont="1">
      <alignment readingOrder="0"/>
    </xf>
    <xf borderId="0" fillId="0" fontId="5" numFmtId="0" xfId="0" applyAlignment="1" applyFont="1">
      <alignment readingOrder="0" vertical="bottom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pizzapasta-taxi.de/" TargetMode="External"/><Relationship Id="rId2" Type="http://schemas.openxmlformats.org/officeDocument/2006/relationships/hyperlink" Target="https://wolt.com/de/deu/stuttgart/restaurant/hashi-stuttgart/rotes-curry-itemid-62b31e4a987fcd6eb7f47f9f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4.0"/>
    <col customWidth="1" min="8" max="8" width="14.63"/>
  </cols>
  <sheetData>
    <row r="1">
      <c r="A1" s="1" t="s">
        <v>0</v>
      </c>
      <c r="F1" s="1" t="s">
        <v>1</v>
      </c>
    </row>
    <row r="3">
      <c r="B3" s="2" t="s">
        <v>2</v>
      </c>
      <c r="C3" s="3">
        <v>23.0</v>
      </c>
      <c r="D3" s="4"/>
      <c r="G3" s="2" t="s">
        <v>2</v>
      </c>
      <c r="H3" s="3">
        <v>23.0</v>
      </c>
      <c r="I3" s="4"/>
    </row>
    <row r="4">
      <c r="B4" s="5" t="s">
        <v>3</v>
      </c>
      <c r="C4" s="6">
        <v>400.0</v>
      </c>
      <c r="D4" s="7" t="s">
        <v>4</v>
      </c>
      <c r="G4" s="5" t="s">
        <v>3</v>
      </c>
      <c r="H4" s="6">
        <v>80.0</v>
      </c>
      <c r="I4" s="7" t="s">
        <v>4</v>
      </c>
    </row>
    <row r="5">
      <c r="B5" s="8"/>
      <c r="C5" s="9">
        <f>C4*C3</f>
        <v>9200</v>
      </c>
      <c r="D5" s="10" t="s">
        <v>4</v>
      </c>
      <c r="G5" s="8"/>
      <c r="H5" s="9">
        <f>H4*H3</f>
        <v>1840</v>
      </c>
      <c r="I5" s="10" t="s">
        <v>4</v>
      </c>
    </row>
    <row r="9" ht="29.25" customHeight="1">
      <c r="A9" s="11" t="s">
        <v>5</v>
      </c>
      <c r="B9" s="12" t="s">
        <v>6</v>
      </c>
      <c r="C9" s="11" t="s">
        <v>7</v>
      </c>
      <c r="D9" s="11" t="s">
        <v>8</v>
      </c>
      <c r="G9" s="11" t="s">
        <v>5</v>
      </c>
      <c r="H9" s="12" t="s">
        <v>6</v>
      </c>
      <c r="I9" s="11" t="s">
        <v>7</v>
      </c>
      <c r="J9" s="11" t="s">
        <v>8</v>
      </c>
    </row>
    <row r="10">
      <c r="A10" s="13" t="s">
        <v>9</v>
      </c>
      <c r="B10" s="13">
        <v>500.0</v>
      </c>
      <c r="C10" s="13">
        <v>3.0</v>
      </c>
      <c r="D10" s="14">
        <f t="shared" ref="D10:D20" si="1">B10*C10</f>
        <v>1500</v>
      </c>
      <c r="G10" s="13" t="s">
        <v>10</v>
      </c>
      <c r="H10" s="13">
        <v>400.0</v>
      </c>
      <c r="I10" s="13">
        <v>2.0</v>
      </c>
      <c r="J10" s="14">
        <f t="shared" ref="J10:J13" si="2">H10*I10</f>
        <v>800</v>
      </c>
    </row>
    <row r="11">
      <c r="A11" s="13" t="s">
        <v>10</v>
      </c>
      <c r="B11" s="13">
        <v>400.0</v>
      </c>
      <c r="C11" s="13">
        <v>2.0</v>
      </c>
      <c r="D11" s="14">
        <f t="shared" si="1"/>
        <v>800</v>
      </c>
      <c r="G11" s="13" t="s">
        <v>11</v>
      </c>
      <c r="H11" s="13">
        <v>160.0</v>
      </c>
      <c r="I11" s="13">
        <v>2.0</v>
      </c>
      <c r="J11" s="14">
        <f t="shared" si="2"/>
        <v>320</v>
      </c>
    </row>
    <row r="12">
      <c r="A12" s="13" t="s">
        <v>11</v>
      </c>
      <c r="B12" s="13">
        <v>160.0</v>
      </c>
      <c r="C12" s="13">
        <v>2.0</v>
      </c>
      <c r="D12" s="14">
        <f t="shared" si="1"/>
        <v>320</v>
      </c>
      <c r="G12" s="13" t="s">
        <v>12</v>
      </c>
      <c r="H12" s="13">
        <v>80.0</v>
      </c>
      <c r="I12" s="13">
        <v>6.0</v>
      </c>
      <c r="J12" s="14">
        <f t="shared" si="2"/>
        <v>480</v>
      </c>
    </row>
    <row r="13">
      <c r="A13" s="13" t="s">
        <v>13</v>
      </c>
      <c r="B13" s="13">
        <v>85.0</v>
      </c>
      <c r="C13" s="13">
        <v>8.0</v>
      </c>
      <c r="D13" s="14">
        <f t="shared" si="1"/>
        <v>680</v>
      </c>
      <c r="G13" s="13" t="s">
        <v>14</v>
      </c>
      <c r="H13" s="13">
        <v>350.0</v>
      </c>
      <c r="I13" s="13">
        <v>1.0</v>
      </c>
      <c r="J13" s="14">
        <f t="shared" si="2"/>
        <v>350</v>
      </c>
    </row>
    <row r="14">
      <c r="A14" s="13" t="s">
        <v>12</v>
      </c>
      <c r="B14" s="13">
        <v>80.0</v>
      </c>
      <c r="C14" s="13">
        <v>4.0</v>
      </c>
      <c r="D14" s="14">
        <f t="shared" si="1"/>
        <v>320</v>
      </c>
    </row>
    <row r="15">
      <c r="A15" s="13" t="s">
        <v>15</v>
      </c>
      <c r="B15" s="13">
        <v>140.0</v>
      </c>
      <c r="C15" s="13">
        <v>2.0</v>
      </c>
      <c r="D15" s="14">
        <f t="shared" si="1"/>
        <v>280</v>
      </c>
    </row>
    <row r="16">
      <c r="A16" s="13" t="s">
        <v>16</v>
      </c>
      <c r="B16" s="13">
        <v>255.0</v>
      </c>
      <c r="C16" s="13">
        <v>4.0</v>
      </c>
      <c r="D16" s="14">
        <f t="shared" si="1"/>
        <v>1020</v>
      </c>
    </row>
    <row r="17">
      <c r="A17" s="13" t="s">
        <v>17</v>
      </c>
      <c r="B17" s="13">
        <v>170.0</v>
      </c>
      <c r="C17" s="13">
        <v>2.0</v>
      </c>
      <c r="D17" s="14">
        <f t="shared" si="1"/>
        <v>340</v>
      </c>
    </row>
    <row r="18">
      <c r="A18" s="13" t="s">
        <v>18</v>
      </c>
      <c r="B18" s="13">
        <v>200.0</v>
      </c>
      <c r="C18" s="13">
        <v>2.0</v>
      </c>
      <c r="D18" s="14">
        <f t="shared" si="1"/>
        <v>400</v>
      </c>
    </row>
    <row r="19">
      <c r="A19" s="13" t="s">
        <v>19</v>
      </c>
      <c r="B19" s="13">
        <v>150.0</v>
      </c>
      <c r="C19" s="13">
        <v>2.0</v>
      </c>
      <c r="D19" s="14">
        <f t="shared" si="1"/>
        <v>300</v>
      </c>
    </row>
    <row r="20">
      <c r="A20" s="13" t="s">
        <v>20</v>
      </c>
      <c r="B20" s="13">
        <v>1500.0</v>
      </c>
      <c r="C20" s="13">
        <v>1.0</v>
      </c>
      <c r="D20" s="14">
        <f t="shared" si="1"/>
        <v>1500</v>
      </c>
    </row>
    <row r="25">
      <c r="D25" s="15"/>
      <c r="J25" s="15"/>
    </row>
    <row r="26">
      <c r="C26" s="13" t="s">
        <v>21</v>
      </c>
      <c r="D26" s="14">
        <f>SUM(D10:D25)</f>
        <v>7460</v>
      </c>
      <c r="E26" s="13" t="s">
        <v>22</v>
      </c>
      <c r="I26" s="13" t="s">
        <v>21</v>
      </c>
      <c r="J26" s="14">
        <f>SUM(J10:J25)</f>
        <v>1950</v>
      </c>
      <c r="K26" s="13" t="s">
        <v>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63"/>
    <col customWidth="1" min="6" max="6" width="16.25"/>
    <col customWidth="1" min="7" max="7" width="35.88"/>
  </cols>
  <sheetData>
    <row r="1">
      <c r="A1" s="16" t="s">
        <v>23</v>
      </c>
      <c r="B1" s="16"/>
      <c r="C1" s="16"/>
      <c r="D1" s="16"/>
      <c r="E1" s="17" t="s">
        <v>24</v>
      </c>
    </row>
    <row r="2">
      <c r="B2" s="16"/>
      <c r="C2" s="16"/>
      <c r="D2" s="16"/>
      <c r="E2" s="18" t="s">
        <v>2</v>
      </c>
      <c r="F2" s="13" t="s">
        <v>25</v>
      </c>
      <c r="G2" s="13" t="s">
        <v>26</v>
      </c>
    </row>
    <row r="3">
      <c r="A3" s="13" t="s">
        <v>27</v>
      </c>
      <c r="B3" s="16"/>
      <c r="C3" s="16"/>
      <c r="D3" s="16"/>
      <c r="E3" s="18">
        <v>53.0</v>
      </c>
      <c r="F3" s="13">
        <v>560.0</v>
      </c>
      <c r="G3" s="14">
        <f>F3*E3</f>
        <v>29680</v>
      </c>
      <c r="J3" s="13" t="s">
        <v>28</v>
      </c>
    </row>
    <row r="4">
      <c r="B4" s="16"/>
      <c r="C4" s="16"/>
      <c r="D4" s="16"/>
      <c r="E4" s="13" t="s">
        <v>29</v>
      </c>
      <c r="F4" s="13" t="s">
        <v>30</v>
      </c>
      <c r="J4" s="19">
        <f>G3/1963</f>
        <v>15.11971472</v>
      </c>
      <c r="K4" s="20" t="s">
        <v>31</v>
      </c>
      <c r="L4" s="20" t="s">
        <v>32</v>
      </c>
      <c r="M4" s="21"/>
    </row>
    <row r="5">
      <c r="B5" s="16"/>
      <c r="C5" s="16"/>
      <c r="D5" s="16"/>
      <c r="E5" s="16">
        <f>40*60</f>
        <v>2400</v>
      </c>
      <c r="F5" s="14">
        <f>G3/E5</f>
        <v>12.36666667</v>
      </c>
      <c r="J5" s="22"/>
      <c r="K5" s="13" t="s">
        <v>33</v>
      </c>
      <c r="M5" s="23"/>
    </row>
    <row r="6">
      <c r="A6" s="24" t="s">
        <v>34</v>
      </c>
      <c r="B6" s="16"/>
      <c r="C6" s="16"/>
      <c r="D6" s="16"/>
      <c r="E6" s="25" t="s">
        <v>35</v>
      </c>
      <c r="G6" s="26" t="s">
        <v>36</v>
      </c>
      <c r="J6" s="22"/>
      <c r="M6" s="23"/>
    </row>
    <row r="7">
      <c r="A7" s="24" t="s">
        <v>37</v>
      </c>
      <c r="E7" s="13" t="s">
        <v>7</v>
      </c>
      <c r="F7" s="13" t="s">
        <v>38</v>
      </c>
      <c r="G7" s="13" t="s">
        <v>39</v>
      </c>
      <c r="H7" s="13" t="s">
        <v>40</v>
      </c>
      <c r="I7" s="13" t="s">
        <v>41</v>
      </c>
      <c r="J7" s="22"/>
      <c r="M7" s="23"/>
    </row>
    <row r="8">
      <c r="A8" s="24" t="s">
        <v>42</v>
      </c>
      <c r="E8" s="13">
        <v>1.0</v>
      </c>
      <c r="F8" s="13" t="s">
        <v>43</v>
      </c>
      <c r="H8" s="13">
        <v>33.1</v>
      </c>
      <c r="I8" s="14">
        <f t="shared" ref="I8:I19" si="1">E8*H8</f>
        <v>33.1</v>
      </c>
      <c r="J8" s="22"/>
      <c r="M8" s="23"/>
    </row>
    <row r="9">
      <c r="A9" s="16"/>
      <c r="E9" s="13">
        <v>2.0</v>
      </c>
      <c r="F9" s="13" t="s">
        <v>44</v>
      </c>
      <c r="H9" s="13">
        <v>24.89</v>
      </c>
      <c r="I9" s="14">
        <f t="shared" si="1"/>
        <v>49.78</v>
      </c>
      <c r="J9" s="27">
        <v>3.0</v>
      </c>
      <c r="K9" s="13" t="s">
        <v>45</v>
      </c>
      <c r="L9" s="13">
        <v>17.8</v>
      </c>
      <c r="M9" s="23">
        <f t="shared" ref="M9:M14" si="2">J9*L9</f>
        <v>53.4</v>
      </c>
    </row>
    <row r="10">
      <c r="E10" s="13">
        <v>2.0</v>
      </c>
      <c r="F10" s="13" t="s">
        <v>46</v>
      </c>
      <c r="H10" s="13">
        <v>28.31</v>
      </c>
      <c r="I10" s="14">
        <f t="shared" si="1"/>
        <v>56.62</v>
      </c>
      <c r="J10" s="27">
        <v>3.0</v>
      </c>
      <c r="K10" s="13" t="s">
        <v>46</v>
      </c>
      <c r="L10" s="13">
        <v>21.0</v>
      </c>
      <c r="M10" s="23">
        <f t="shared" si="2"/>
        <v>63</v>
      </c>
    </row>
    <row r="11">
      <c r="A11" s="13" t="s">
        <v>47</v>
      </c>
      <c r="E11" s="13">
        <v>1.0</v>
      </c>
      <c r="F11" s="13" t="s">
        <v>48</v>
      </c>
      <c r="G11" s="13" t="s">
        <v>49</v>
      </c>
      <c r="H11" s="13">
        <v>29.64</v>
      </c>
      <c r="I11" s="14">
        <f t="shared" si="1"/>
        <v>29.64</v>
      </c>
      <c r="J11" s="27">
        <v>3.0</v>
      </c>
      <c r="K11" s="13" t="s">
        <v>50</v>
      </c>
      <c r="L11" s="13">
        <v>25.0</v>
      </c>
      <c r="M11" s="23">
        <f t="shared" si="2"/>
        <v>75</v>
      </c>
    </row>
    <row r="12">
      <c r="A12" s="28" t="s">
        <v>51</v>
      </c>
      <c r="E12" s="13">
        <v>1.0</v>
      </c>
      <c r="F12" s="13" t="s">
        <v>52</v>
      </c>
      <c r="G12" s="13" t="s">
        <v>53</v>
      </c>
      <c r="H12" s="13">
        <v>31.73</v>
      </c>
      <c r="I12" s="14">
        <f t="shared" si="1"/>
        <v>31.73</v>
      </c>
      <c r="J12" s="27">
        <v>2.0</v>
      </c>
      <c r="K12" s="13" t="s">
        <v>54</v>
      </c>
      <c r="L12" s="13">
        <v>21.0</v>
      </c>
      <c r="M12" s="23">
        <f t="shared" si="2"/>
        <v>42</v>
      </c>
    </row>
    <row r="13">
      <c r="E13" s="13">
        <v>1.0</v>
      </c>
      <c r="F13" s="13" t="s">
        <v>55</v>
      </c>
      <c r="G13" s="13" t="s">
        <v>56</v>
      </c>
      <c r="H13" s="13">
        <v>29.64</v>
      </c>
      <c r="I13" s="14">
        <f t="shared" si="1"/>
        <v>29.64</v>
      </c>
      <c r="J13" s="27">
        <v>2.0</v>
      </c>
      <c r="K13" s="13" t="s">
        <v>57</v>
      </c>
      <c r="L13" s="13">
        <v>19.8</v>
      </c>
      <c r="M13" s="23">
        <f t="shared" si="2"/>
        <v>39.6</v>
      </c>
    </row>
    <row r="14">
      <c r="E14" s="13">
        <v>1.0</v>
      </c>
      <c r="F14" s="13" t="s">
        <v>58</v>
      </c>
      <c r="G14" s="13" t="s">
        <v>59</v>
      </c>
      <c r="H14" s="13">
        <v>33.16</v>
      </c>
      <c r="I14" s="14">
        <f t="shared" si="1"/>
        <v>33.16</v>
      </c>
      <c r="J14" s="27">
        <v>3.0</v>
      </c>
      <c r="K14" s="13" t="s">
        <v>60</v>
      </c>
      <c r="L14" s="13">
        <v>25.0</v>
      </c>
      <c r="M14" s="23">
        <f t="shared" si="2"/>
        <v>75</v>
      </c>
    </row>
    <row r="15">
      <c r="E15" s="13">
        <v>1.0</v>
      </c>
      <c r="F15" s="13" t="s">
        <v>57</v>
      </c>
      <c r="H15" s="13">
        <v>28.31</v>
      </c>
      <c r="I15" s="14">
        <f t="shared" si="1"/>
        <v>28.31</v>
      </c>
      <c r="J15" s="22"/>
      <c r="M15" s="23"/>
    </row>
    <row r="16">
      <c r="E16" s="13">
        <v>1.0</v>
      </c>
      <c r="F16" s="13" t="s">
        <v>61</v>
      </c>
      <c r="G16" s="13" t="s">
        <v>62</v>
      </c>
      <c r="H16" s="13">
        <v>31.83</v>
      </c>
      <c r="I16" s="14">
        <f t="shared" si="1"/>
        <v>31.83</v>
      </c>
      <c r="J16" s="29">
        <f>SUM(J9:J15)</f>
        <v>16</v>
      </c>
      <c r="K16" s="30"/>
      <c r="L16" s="30"/>
      <c r="M16" s="31">
        <f>SUM(M9:M15)</f>
        <v>348</v>
      </c>
    </row>
    <row r="17">
      <c r="E17" s="13">
        <v>1.0</v>
      </c>
      <c r="F17" s="13" t="s">
        <v>63</v>
      </c>
      <c r="G17" s="13" t="s">
        <v>64</v>
      </c>
      <c r="H17" s="13">
        <v>33.16</v>
      </c>
      <c r="I17" s="14">
        <f t="shared" si="1"/>
        <v>33.16</v>
      </c>
    </row>
    <row r="18">
      <c r="E18" s="13">
        <v>1.0</v>
      </c>
      <c r="F18" s="13" t="s">
        <v>65</v>
      </c>
      <c r="G18" s="13" t="s">
        <v>66</v>
      </c>
      <c r="H18" s="13">
        <v>37.34</v>
      </c>
      <c r="I18" s="14">
        <f t="shared" si="1"/>
        <v>37.34</v>
      </c>
    </row>
    <row r="19">
      <c r="E19" s="13">
        <v>1.0</v>
      </c>
      <c r="F19" s="13" t="s">
        <v>67</v>
      </c>
      <c r="G19" s="13" t="s">
        <v>68</v>
      </c>
      <c r="H19" s="13">
        <v>33.16</v>
      </c>
      <c r="I19" s="14">
        <f t="shared" si="1"/>
        <v>33.16</v>
      </c>
    </row>
    <row r="20">
      <c r="I20" s="14">
        <f>SUM(I2:I19)</f>
        <v>427.47</v>
      </c>
    </row>
  </sheetData>
  <hyperlinks>
    <hyperlink r:id="rId1" ref="E6"/>
    <hyperlink r:id="rId2" ref="G6"/>
  </hyperlinks>
  <drawing r:id="rId3"/>
</worksheet>
</file>